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ter\OneDrive\Skrivbord\"/>
    </mc:Choice>
  </mc:AlternateContent>
  <xr:revisionPtr revIDLastSave="0" documentId="13_ncr:1_{BA185B20-A2F4-4646-8EE1-2D8DA7DF4D8A}" xr6:coauthVersionLast="47" xr6:coauthVersionMax="47" xr10:uidLastSave="{00000000-0000-0000-0000-000000000000}"/>
  <bookViews>
    <workbookView xWindow="1210" yWindow="3800" windowWidth="23110" windowHeight="12940" tabRatio="458" firstSheet="2" activeTab="2" xr2:uid="{00000000-000D-0000-FFFF-FFFF00000000}"/>
  </bookViews>
  <sheets>
    <sheet name="PDF" sheetId="1" r:id="rId1"/>
    <sheet name="CDF" sheetId="2" r:id="rId2"/>
    <sheet name="Monte Carlo" sheetId="7" r:id="rId3"/>
  </sheet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2" i="7"/>
  <c r="C3" i="7"/>
  <c r="C4" i="7"/>
  <c r="B3" i="7"/>
  <c r="B4" i="7"/>
  <c r="B2" i="7"/>
  <c r="B4" i="2"/>
  <c r="B3" i="2"/>
  <c r="B2" i="2"/>
  <c r="B34" i="2" a="1"/>
  <c r="B42" i="2" a="1"/>
  <c r="B50" i="2" a="1"/>
  <c r="B26" i="2" a="1"/>
  <c r="B17" i="2" a="1"/>
  <c r="B25" i="2" a="1"/>
  <c r="B31" i="2" a="1"/>
  <c r="B39" i="2" a="1"/>
  <c r="B47" i="2" a="1"/>
  <c r="B13" i="2" a="1"/>
  <c r="B10" i="2" a="1"/>
  <c r="B22" i="2" a="1"/>
  <c r="C37" i="2" a="1"/>
  <c r="C52" i="2" a="1"/>
  <c r="C8" i="2" a="1"/>
  <c r="C12" i="2" a="1"/>
  <c r="C44" i="2" a="1"/>
  <c r="C23" i="2" a="1"/>
  <c r="C14" i="2" a="1"/>
  <c r="C45" i="2" a="1"/>
  <c r="C7" i="2" a="1"/>
  <c r="C32" i="2" a="1"/>
  <c r="C35" i="2" a="1"/>
  <c r="C47" i="2" a="1"/>
  <c r="C8" i="1" a="1"/>
  <c r="C9" i="1" a="1"/>
  <c r="C13" i="1" a="1"/>
  <c r="C55" i="1" a="1"/>
  <c r="C14" i="1" a="1"/>
  <c r="C50" i="1" a="1"/>
  <c r="C10" i="1" a="1"/>
  <c r="C32" i="1" a="1"/>
  <c r="C58" i="1" a="1"/>
  <c r="C46" i="1" a="1"/>
  <c r="C24" i="1" a="1"/>
  <c r="C19" i="1" a="1"/>
  <c r="C36" i="1" a="1"/>
  <c r="B49" i="1" a="1"/>
  <c r="B26" i="1" a="1"/>
  <c r="B59" i="1" a="1"/>
  <c r="B24" i="1" a="1"/>
  <c r="B8" i="1" a="1"/>
  <c r="B44" i="1" a="1"/>
  <c r="B53" i="1" a="1"/>
  <c r="B41" i="1" a="1"/>
  <c r="B16" i="1" a="1"/>
  <c r="B29" i="1" a="1"/>
  <c r="B13" i="1" a="1"/>
  <c r="B43" i="1" a="1"/>
  <c r="B28" i="1" a="1"/>
  <c r="B39" i="1" a="1"/>
  <c r="B41" i="2" a="1"/>
  <c r="C16" i="2" a="1"/>
  <c r="C13" i="2" a="1"/>
  <c r="C41" i="2" a="1"/>
  <c r="C31" i="2" a="1"/>
  <c r="C42" i="2" a="1"/>
  <c r="C11" i="2" a="1"/>
  <c r="C51" i="2" a="1"/>
  <c r="C52" i="1" a="1"/>
  <c r="C40" i="1" a="1"/>
  <c r="C33" i="1" a="1"/>
  <c r="C23" i="1" a="1"/>
  <c r="C54" i="1" a="1"/>
  <c r="C21" i="1" a="1"/>
  <c r="C48" i="1" a="1"/>
  <c r="C6" i="1" a="1"/>
  <c r="B40" i="1" a="1"/>
  <c r="B58" i="1" a="1"/>
  <c r="B19" i="1" a="1"/>
  <c r="B15" i="1" a="1"/>
  <c r="B32" i="1" a="1"/>
  <c r="B45" i="1" a="1"/>
  <c r="B31" i="1" a="1"/>
  <c r="F3" i="7" a="1"/>
  <c r="B46" i="2" a="1"/>
  <c r="B14" i="2" a="1"/>
  <c r="B35" i="2" a="1"/>
  <c r="B20" i="2" a="1"/>
  <c r="C10" i="2" a="1"/>
  <c r="C18" i="2" a="1"/>
  <c r="C33" i="2" a="1"/>
  <c r="C25" i="1" a="1"/>
  <c r="C31" i="1" a="1"/>
  <c r="C43" i="1" a="1"/>
  <c r="C26" i="1" a="1"/>
  <c r="C57" i="1" a="1"/>
  <c r="B18" i="1" a="1"/>
  <c r="B37" i="1" a="1"/>
  <c r="B48" i="1" a="1"/>
  <c r="B54" i="1" a="1"/>
  <c r="B48" i="2" a="1"/>
  <c r="B45" i="2" a="1"/>
  <c r="C36" i="2" a="1"/>
  <c r="C19" i="2" a="1"/>
  <c r="C46" i="2" a="1"/>
  <c r="C26" i="2" a="1"/>
  <c r="C11" i="1" a="1"/>
  <c r="C18" i="1" a="1"/>
  <c r="C44" i="1" a="1"/>
  <c r="B9" i="1" a="1"/>
  <c r="B27" i="1" a="1"/>
  <c r="B22" i="1" a="1"/>
  <c r="B38" i="1" a="1"/>
  <c r="B28" i="2" a="1"/>
  <c r="B36" i="2" a="1"/>
  <c r="B44" i="2" a="1"/>
  <c r="B52" i="2" a="1"/>
  <c r="B12" i="2" a="1"/>
  <c r="B23" i="2" a="1"/>
  <c r="B11" i="2" a="1"/>
  <c r="B33" i="2" a="1"/>
  <c r="B49" i="2" a="1"/>
  <c r="B18" i="2" a="1"/>
  <c r="B19" i="2" a="1"/>
  <c r="C53" i="2" a="1"/>
  <c r="C17" i="2" a="1"/>
  <c r="C21" i="2" a="1"/>
  <c r="C22" i="2" a="1"/>
  <c r="C48" i="2" a="1"/>
  <c r="C38" i="1" a="1"/>
  <c r="C20" i="1" a="1"/>
  <c r="C42" i="1" a="1"/>
  <c r="C41" i="1" a="1"/>
  <c r="C28" i="1" a="1"/>
  <c r="C39" i="1" a="1"/>
  <c r="B35" i="1" a="1"/>
  <c r="B55" i="1" a="1"/>
  <c r="B23" i="1" a="1"/>
  <c r="B11" i="1" a="1"/>
  <c r="B14" i="1" a="1"/>
  <c r="B25" i="1" a="1"/>
  <c r="B30" i="2" a="1"/>
  <c r="B54" i="2" a="1"/>
  <c r="B27" i="2" a="1"/>
  <c r="B16" i="2" a="1"/>
  <c r="B51" i="2" a="1"/>
  <c r="B15" i="2" a="1"/>
  <c r="C24" i="2" a="1"/>
  <c r="C27" i="2" a="1"/>
  <c r="C20" i="2" a="1"/>
  <c r="C25" i="2" a="1"/>
  <c r="C16" i="1" a="1"/>
  <c r="C35" i="1" a="1"/>
  <c r="C49" i="1" a="1"/>
  <c r="C29" i="1" a="1"/>
  <c r="C15" i="1" a="1"/>
  <c r="C27" i="1" a="1"/>
  <c r="B51" i="1" a="1"/>
  <c r="B17" i="1" a="1"/>
  <c r="B57" i="1" a="1"/>
  <c r="B47" i="1" a="1"/>
  <c r="B32" i="2" a="1"/>
  <c r="B24" i="2" a="1"/>
  <c r="B29" i="2" a="1"/>
  <c r="B53" i="2" a="1"/>
  <c r="B21" i="2" a="1"/>
  <c r="C39" i="2" a="1"/>
  <c r="C40" i="2" a="1"/>
  <c r="C29" i="2" a="1"/>
  <c r="C15" i="2" a="1"/>
  <c r="C53" i="1" a="1"/>
  <c r="C22" i="1" a="1"/>
  <c r="C30" i="1" a="1"/>
  <c r="C45" i="1" a="1"/>
  <c r="C12" i="1" a="1"/>
  <c r="B50" i="1" a="1"/>
  <c r="B30" i="1" a="1"/>
  <c r="B6" i="1" a="1"/>
  <c r="B46" i="1" a="1"/>
  <c r="B38" i="2" a="1"/>
  <c r="B43" i="2" a="1"/>
  <c r="C34" i="2" a="1"/>
  <c r="C38" i="2" a="1"/>
  <c r="C9" i="2" a="1"/>
  <c r="C30" i="2" a="1"/>
  <c r="C28" i="2" a="1"/>
  <c r="C7" i="1" a="1"/>
  <c r="C56" i="1" a="1"/>
  <c r="C47" i="1" a="1"/>
  <c r="B10" i="1" a="1"/>
  <c r="B12" i="1" a="1"/>
  <c r="B34" i="1" a="1"/>
  <c r="B36" i="1" a="1"/>
  <c r="B20" i="1" a="1"/>
  <c r="B40" i="2" a="1"/>
  <c r="B9" i="2" a="1"/>
  <c r="B8" i="2" a="1"/>
  <c r="B37" i="2" a="1"/>
  <c r="B7" i="2" a="1"/>
  <c r="C50" i="2" a="1"/>
  <c r="C54" i="2" a="1"/>
  <c r="C43" i="2" a="1"/>
  <c r="C49" i="2" a="1"/>
  <c r="C34" i="1" a="1"/>
  <c r="C37" i="1" a="1"/>
  <c r="C51" i="1" a="1"/>
  <c r="C17" i="1" a="1"/>
  <c r="C59" i="1" a="1"/>
  <c r="B33" i="1" a="1"/>
  <c r="B42" i="1" a="1"/>
  <c r="B21" i="1" a="1"/>
  <c r="B7" i="1" a="1"/>
  <c r="B52" i="1" a="1"/>
  <c r="B56" i="1" a="1"/>
  <c r="B56" i="1" l="1"/>
  <c r="B52" i="1"/>
  <c r="B7" i="1"/>
  <c r="B21" i="1"/>
  <c r="B42" i="1"/>
  <c r="B33" i="1"/>
  <c r="C59" i="1"/>
  <c r="C17" i="1"/>
  <c r="C51" i="1"/>
  <c r="C37" i="1"/>
  <c r="C34" i="1"/>
  <c r="C49" i="2"/>
  <c r="C43" i="2"/>
  <c r="C54" i="2"/>
  <c r="C50" i="2"/>
  <c r="B7" i="2"/>
  <c r="B37" i="2"/>
  <c r="B8" i="2"/>
  <c r="B9" i="2"/>
  <c r="B40" i="2"/>
  <c r="B20" i="1"/>
  <c r="B36" i="1"/>
  <c r="B34" i="1"/>
  <c r="B12" i="1"/>
  <c r="B10" i="1"/>
  <c r="C47" i="1"/>
  <c r="C56" i="1"/>
  <c r="C7" i="1"/>
  <c r="C28" i="2"/>
  <c r="C30" i="2"/>
  <c r="C9" i="2"/>
  <c r="C38" i="2"/>
  <c r="C34" i="2"/>
  <c r="B43" i="2"/>
  <c r="B38" i="2"/>
  <c r="B46" i="1"/>
  <c r="B6" i="1"/>
  <c r="B30" i="1"/>
  <c r="B50" i="1"/>
  <c r="C12" i="1"/>
  <c r="C45" i="1"/>
  <c r="C30" i="1"/>
  <c r="C22" i="1"/>
  <c r="C53" i="1"/>
  <c r="C15" i="2"/>
  <c r="C29" i="2"/>
  <c r="C40" i="2"/>
  <c r="C39" i="2"/>
  <c r="B21" i="2"/>
  <c r="B53" i="2"/>
  <c r="B29" i="2"/>
  <c r="B24" i="2"/>
  <c r="B32" i="2"/>
  <c r="B47" i="1"/>
  <c r="B57" i="1"/>
  <c r="B17" i="1"/>
  <c r="B51" i="1"/>
  <c r="C27" i="1"/>
  <c r="C15" i="1"/>
  <c r="C29" i="1"/>
  <c r="C49" i="1"/>
  <c r="C35" i="1"/>
  <c r="C16" i="1"/>
  <c r="C25" i="2"/>
  <c r="C20" i="2"/>
  <c r="C27" i="2"/>
  <c r="C24" i="2"/>
  <c r="B15" i="2"/>
  <c r="B51" i="2"/>
  <c r="B16" i="2"/>
  <c r="B27" i="2"/>
  <c r="B54" i="2"/>
  <c r="B30" i="2"/>
  <c r="B25" i="1"/>
  <c r="B14" i="1"/>
  <c r="B11" i="1"/>
  <c r="B23" i="1"/>
  <c r="B55" i="1"/>
  <c r="B35" i="1"/>
  <c r="C39" i="1"/>
  <c r="C28" i="1"/>
  <c r="C41" i="1"/>
  <c r="C42" i="1"/>
  <c r="C20" i="1"/>
  <c r="C38" i="1"/>
  <c r="C48" i="2"/>
  <c r="C22" i="2"/>
  <c r="C21" i="2"/>
  <c r="C17" i="2"/>
  <c r="C53" i="2"/>
  <c r="B19" i="2"/>
  <c r="B18" i="2"/>
  <c r="B49" i="2"/>
  <c r="B33" i="2"/>
  <c r="B11" i="2"/>
  <c r="B23" i="2"/>
  <c r="B12" i="2"/>
  <c r="B52" i="2"/>
  <c r="B44" i="2"/>
  <c r="B36" i="2"/>
  <c r="B28" i="2"/>
  <c r="B38" i="1"/>
  <c r="B22" i="1"/>
  <c r="B27" i="1"/>
  <c r="B9" i="1"/>
  <c r="C44" i="1"/>
  <c r="C18" i="1"/>
  <c r="C11" i="1"/>
  <c r="C26" i="2"/>
  <c r="C46" i="2"/>
  <c r="C19" i="2"/>
  <c r="C36" i="2"/>
  <c r="B45" i="2"/>
  <c r="B48" i="2"/>
  <c r="B54" i="1"/>
  <c r="B48" i="1"/>
  <c r="B37" i="1"/>
  <c r="B18" i="1"/>
  <c r="C57" i="1"/>
  <c r="C26" i="1"/>
  <c r="C43" i="1"/>
  <c r="C31" i="1"/>
  <c r="C25" i="1"/>
  <c r="C33" i="2"/>
  <c r="C18" i="2"/>
  <c r="C10" i="2"/>
  <c r="B20" i="2"/>
  <c r="B35" i="2"/>
  <c r="B14" i="2"/>
  <c r="B46" i="2"/>
  <c r="F3" i="7"/>
  <c r="B31" i="1"/>
  <c r="B45" i="1"/>
  <c r="B32" i="1"/>
  <c r="B15" i="1"/>
  <c r="B19" i="1"/>
  <c r="B58" i="1"/>
  <c r="B40" i="1"/>
  <c r="C6" i="1"/>
  <c r="C48" i="1"/>
  <c r="C21" i="1"/>
  <c r="C54" i="1"/>
  <c r="C23" i="1"/>
  <c r="C33" i="1"/>
  <c r="C40" i="1"/>
  <c r="C52" i="1"/>
  <c r="C51" i="2"/>
  <c r="C11" i="2"/>
  <c r="C42" i="2"/>
  <c r="C31" i="2"/>
  <c r="C41" i="2"/>
  <c r="C13" i="2"/>
  <c r="C16" i="2"/>
  <c r="B41" i="2"/>
  <c r="B39" i="1"/>
  <c r="B28" i="1"/>
  <c r="B43" i="1"/>
  <c r="B13" i="1"/>
  <c r="B29" i="1"/>
  <c r="B16" i="1"/>
  <c r="B41" i="1"/>
  <c r="B53" i="1"/>
  <c r="B44" i="1"/>
  <c r="B8" i="1"/>
  <c r="B24" i="1"/>
  <c r="B59" i="1"/>
  <c r="B26" i="1"/>
  <c r="B49" i="1"/>
  <c r="C36" i="1"/>
  <c r="C19" i="1"/>
  <c r="C24" i="1"/>
  <c r="C46" i="1"/>
  <c r="C58" i="1"/>
  <c r="C32" i="1"/>
  <c r="C10" i="1"/>
  <c r="C50" i="1"/>
  <c r="C14" i="1"/>
  <c r="C55" i="1"/>
  <c r="C13" i="1"/>
  <c r="C9" i="1"/>
  <c r="C8" i="1"/>
  <c r="C47" i="2"/>
  <c r="C35" i="2"/>
  <c r="C32" i="2"/>
  <c r="C7" i="2"/>
  <c r="C45" i="2"/>
  <c r="C14" i="2"/>
  <c r="C23" i="2"/>
  <c r="C44" i="2"/>
  <c r="C12" i="2"/>
  <c r="C8" i="2"/>
  <c r="C52" i="2"/>
  <c r="C37" i="2"/>
  <c r="B22" i="2"/>
  <c r="B10" i="2"/>
  <c r="B13" i="2"/>
  <c r="B47" i="2"/>
  <c r="B39" i="2"/>
  <c r="B31" i="2"/>
  <c r="B25" i="2"/>
  <c r="B17" i="2"/>
  <c r="B26" i="2"/>
  <c r="B50" i="2"/>
  <c r="B42" i="2"/>
  <c r="B3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<sst xmlns="http://schemas.openxmlformats.org/spreadsheetml/2006/main" count="22" uniqueCount="10">
  <si>
    <t>Effort spent</t>
  </si>
  <si>
    <t>Global difficulty</t>
  </si>
  <si>
    <t>Min</t>
  </si>
  <si>
    <t>Med</t>
  </si>
  <si>
    <t>Max</t>
  </si>
  <si>
    <t>x</t>
  </si>
  <si>
    <t>f(x)</t>
  </si>
  <si>
    <t>Monte Carlo simulation</t>
  </si>
  <si>
    <t>Iterations</t>
  </si>
  <si>
    <t>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</si>
</sst>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"/>
    <numFmt numFmtId="165" formatCode="0.000%"/>
    <numFmt numFmtId="166" formatCode="_-* #,##0_-;\-* #,##0_-;_-* &quot;-&quot;??_-;_-@_-"/>
    <numFmt numFmtId="167" formatCode="0.0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">
    <xf numFmtId="0" fontId="0" fillId="0" borderId="0" xfId="0"/>
    <xf numFmtId="164" fontId="0" fillId="0" borderId="0" xfId="0" applyNumberFormat="1"/>
    <xf numFmtId="1" fontId="0" fillId="0" borderId="0" xfId="0" applyNumberFormat="1"/>
    <xf numFmtId="167" fontId="0" fillId="0" borderId="0" xfId="0" applyNumberFormat="1"/>
    <xf numFmtId="2" fontId="0" fillId="0" borderId="0" xfId="0" applyNumberFormat="1"/>
    <xf numFmtId="2" fontId="0" fillId="0" borderId="1" xfId="0" applyNumberFormat="1" applyBorder="1"/>
    <xf numFmtId="1" fontId="0" fillId="0" borderId="2" xfId="0" applyNumberFormat="1" applyBorder="1"/>
    <xf numFmtId="2" fontId="2" fillId="0" borderId="3" xfId="0" applyNumberFormat="1" applyFont="1" applyBorder="1"/>
    <xf numFmtId="2" fontId="2" fillId="0" borderId="4" xfId="0" applyNumberFormat="1" applyFont="1" applyBorder="1"/>
    <xf numFmtId="1" fontId="2" fillId="0" borderId="5" xfId="0" applyNumberFormat="1" applyFont="1" applyBorder="1"/>
    <xf numFmtId="2" fontId="0" fillId="0" borderId="6" xfId="0" applyNumberFormat="1" applyBorder="1"/>
    <xf numFmtId="1" fontId="2" fillId="0" borderId="7" xfId="0" applyNumberFormat="1" applyFont="1" applyBorder="1"/>
    <xf numFmtId="2" fontId="0" fillId="0" borderId="8" xfId="0" applyNumberFormat="1" applyBorder="1"/>
    <xf numFmtId="2" fontId="0" fillId="0" borderId="9" xfId="0" applyNumberFormat="1" applyBorder="1"/>
    <xf numFmtId="164" fontId="0" fillId="0" borderId="1" xfId="0" applyNumberFormat="1" applyBorder="1"/>
    <xf numFmtId="0" fontId="0" fillId="0" borderId="2" xfId="0" applyBorder="1"/>
    <xf numFmtId="164" fontId="0" fillId="0" borderId="6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/>
    <xf numFmtId="166" fontId="0" fillId="0" borderId="6" xfId="2" applyNumberFormat="1" applyFont="1" applyBorder="1"/>
    <xf numFmtId="165" fontId="0" fillId="0" borderId="6" xfId="1" applyNumberFormat="1" applyFont="1" applyBorder="1"/>
    <xf numFmtId="0" fontId="0" fillId="0" borderId="7" xfId="0" applyBorder="1"/>
    <xf numFmtId="0" fontId="0" fillId="0" borderId="9" xfId="0" applyBorder="1"/>
    <xf numFmtId="0" fontId="2" fillId="0" borderId="0" xfId="0" applyFont="1"/>
  </cellXfs>
  <cellStyles count="3">
    <cellStyle name="Normal" xfId="0" builtinId="0"/>
    <cellStyle name="Procent" xfId="1" builtinId="5"/>
    <cellStyle name="Tusental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Effort spent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PDF!$A$6:$A$59</c:f>
              <c:numCache>
                <c:formatCode>0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cat>
          <c:val>
            <c:numRef>
              <c:f>PDF!$B$6:$B$59</c:f>
              <c:numCache>
                <c:formatCode>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0.02</c:v>
                </c:pt>
                <c:pt idx="12">
                  <c:v>0.04</c:v>
                </c:pt>
                <c:pt idx="13">
                  <c:v>0.06</c:v>
                </c:pt>
                <c:pt idx="14">
                  <c:v>0.08</c:v>
                </c:pt>
                <c:pt idx="15">
                  <c:v>0.1</c:v>
                </c:pt>
                <c:pt idx="16">
                  <c:v>9.3333333333333338E-2</c:v>
                </c:pt>
                <c:pt idx="17">
                  <c:v>8.666666666666667E-2</c:v>
                </c:pt>
                <c:pt idx="18">
                  <c:v>0.08</c:v>
                </c:pt>
                <c:pt idx="19">
                  <c:v>7.3333333333333334E-2</c:v>
                </c:pt>
                <c:pt idx="20">
                  <c:v>6.6666666666666666E-2</c:v>
                </c:pt>
                <c:pt idx="21">
                  <c:v>0.06</c:v>
                </c:pt>
                <c:pt idx="22">
                  <c:v>5.3333333333333337E-2</c:v>
                </c:pt>
                <c:pt idx="23">
                  <c:v>4.6666666666666669E-2</c:v>
                </c:pt>
                <c:pt idx="24">
                  <c:v>0.04</c:v>
                </c:pt>
                <c:pt idx="25">
                  <c:v>3.3333333333333333E-2</c:v>
                </c:pt>
                <c:pt idx="26">
                  <c:v>2.6666666666666668E-2</c:v>
                </c:pt>
                <c:pt idx="27">
                  <c:v>0.02</c:v>
                </c:pt>
                <c:pt idx="28">
                  <c:v>1.3333333333333334E-2</c:v>
                </c:pt>
                <c:pt idx="29">
                  <c:v>6.6666666666666671E-3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C5-44CC-807E-CDBAE4235821}"/>
            </c:ext>
          </c:extLst>
        </c:ser>
        <c:ser>
          <c:idx val="1"/>
          <c:order val="1"/>
          <c:tx>
            <c:v>Aggregated cost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PDF!$A$6:$A$59</c:f>
              <c:numCache>
                <c:formatCode>0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cat>
          <c:val>
            <c:numRef>
              <c:f>PDF!$C$6:$C$59</c:f>
              <c:numCache>
                <c:formatCode>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8.0000000000000002E-3</c:v>
                </c:pt>
                <c:pt idx="17">
                  <c:v>1.6E-2</c:v>
                </c:pt>
                <c:pt idx="18">
                  <c:v>2.4E-2</c:v>
                </c:pt>
                <c:pt idx="19">
                  <c:v>3.2000000000000001E-2</c:v>
                </c:pt>
                <c:pt idx="20">
                  <c:v>0.04</c:v>
                </c:pt>
                <c:pt idx="21">
                  <c:v>4.8000000000000001E-2</c:v>
                </c:pt>
                <c:pt idx="22">
                  <c:v>5.6000000000000001E-2</c:v>
                </c:pt>
                <c:pt idx="23">
                  <c:v>6.4000000000000001E-2</c:v>
                </c:pt>
                <c:pt idx="24">
                  <c:v>7.1999999999999995E-2</c:v>
                </c:pt>
                <c:pt idx="25">
                  <c:v>0.08</c:v>
                </c:pt>
                <c:pt idx="26">
                  <c:v>7.4666666666666673E-2</c:v>
                </c:pt>
                <c:pt idx="27">
                  <c:v>6.933333333333333E-2</c:v>
                </c:pt>
                <c:pt idx="28">
                  <c:v>6.4000000000000001E-2</c:v>
                </c:pt>
                <c:pt idx="29">
                  <c:v>5.8666666666666666E-2</c:v>
                </c:pt>
                <c:pt idx="30">
                  <c:v>5.3333333333333337E-2</c:v>
                </c:pt>
                <c:pt idx="31">
                  <c:v>4.8000000000000001E-2</c:v>
                </c:pt>
                <c:pt idx="32">
                  <c:v>4.2666666666666665E-2</c:v>
                </c:pt>
                <c:pt idx="33">
                  <c:v>3.7333333333333336E-2</c:v>
                </c:pt>
                <c:pt idx="34">
                  <c:v>3.2000000000000001E-2</c:v>
                </c:pt>
                <c:pt idx="35">
                  <c:v>2.6666666666666668E-2</c:v>
                </c:pt>
                <c:pt idx="36">
                  <c:v>2.1333333333333333E-2</c:v>
                </c:pt>
                <c:pt idx="37">
                  <c:v>1.6E-2</c:v>
                </c:pt>
                <c:pt idx="38">
                  <c:v>1.0666666666666666E-2</c:v>
                </c:pt>
                <c:pt idx="39">
                  <c:v>5.3333333333333332E-3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C5-44CC-807E-CDBAE4235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006608"/>
        <c:axId val="1356009520"/>
      </c:lineChart>
      <c:catAx>
        <c:axId val="13560066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009520"/>
        <c:crosses val="autoZero"/>
        <c:auto val="1"/>
        <c:lblAlgn val="ctr"/>
        <c:lblOffset val="100"/>
        <c:tickLblSkip val="5"/>
        <c:noMultiLvlLbl val="0"/>
      </c:catAx>
      <c:valAx>
        <c:axId val="13560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00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CDF!$A$7:$A$54</c:f>
              <c:numCache>
                <c:formatCode>0.0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cat>
          <c:val>
            <c:numRef>
              <c:f>CDF!$B$7:$B$54</c:f>
              <c:numCache>
                <c:formatCode>0.000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0.01</c:v>
                </c:pt>
                <c:pt idx="12">
                  <c:v>0.04</c:v>
                </c:pt>
                <c:pt idx="13">
                  <c:v>0.09</c:v>
                </c:pt>
                <c:pt idx="14">
                  <c:v>0.16</c:v>
                </c:pt>
                <c:pt idx="15">
                  <c:v>0.25</c:v>
                </c:pt>
                <c:pt idx="16">
                  <c:v>0.34666666666666668</c:v>
                </c:pt>
                <c:pt idx="17">
                  <c:v>0.43666666666666665</c:v>
                </c:pt>
                <c:pt idx="18">
                  <c:v>0.52</c:v>
                </c:pt>
                <c:pt idx="19">
                  <c:v>0.59666666666666668</c:v>
                </c:pt>
                <c:pt idx="20">
                  <c:v>0.66666666666666663</c:v>
                </c:pt>
                <c:pt idx="21">
                  <c:v>0.73</c:v>
                </c:pt>
                <c:pt idx="22">
                  <c:v>0.78666666666666663</c:v>
                </c:pt>
                <c:pt idx="23">
                  <c:v>0.83666666666666667</c:v>
                </c:pt>
                <c:pt idx="24">
                  <c:v>0.88</c:v>
                </c:pt>
                <c:pt idx="25">
                  <c:v>0.91666666666666663</c:v>
                </c:pt>
                <c:pt idx="26">
                  <c:v>0.94666666666666666</c:v>
                </c:pt>
                <c:pt idx="27">
                  <c:v>0.97</c:v>
                </c:pt>
                <c:pt idx="28">
                  <c:v>0.98666666666666669</c:v>
                </c:pt>
                <c:pt idx="29">
                  <c:v>0.9966666666666667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4-472C-8811-40B0C366D6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CDF!$A$7:$A$54</c:f>
              <c:numCache>
                <c:formatCode>0.0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cat>
          <c:val>
            <c:numRef>
              <c:f>CDF!$C$7:$C$54</c:f>
              <c:numCache>
                <c:formatCode>0.000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4.0000000000000001E-3</c:v>
                </c:pt>
                <c:pt idx="17">
                  <c:v>1.6E-2</c:v>
                </c:pt>
                <c:pt idx="18">
                  <c:v>3.5999999999999997E-2</c:v>
                </c:pt>
                <c:pt idx="19">
                  <c:v>6.4000000000000001E-2</c:v>
                </c:pt>
                <c:pt idx="20">
                  <c:v>0.1</c:v>
                </c:pt>
                <c:pt idx="21">
                  <c:v>0.14399999999999999</c:v>
                </c:pt>
                <c:pt idx="22">
                  <c:v>0.19600000000000001</c:v>
                </c:pt>
                <c:pt idx="23">
                  <c:v>0.25600000000000001</c:v>
                </c:pt>
                <c:pt idx="24">
                  <c:v>0.32400000000000001</c:v>
                </c:pt>
                <c:pt idx="25">
                  <c:v>0.4</c:v>
                </c:pt>
                <c:pt idx="26">
                  <c:v>0.47733333333333333</c:v>
                </c:pt>
                <c:pt idx="27">
                  <c:v>0.54933333333333334</c:v>
                </c:pt>
                <c:pt idx="28">
                  <c:v>0.61599999999999999</c:v>
                </c:pt>
                <c:pt idx="29">
                  <c:v>0.67733333333333334</c:v>
                </c:pt>
                <c:pt idx="30">
                  <c:v>0.73333333333333328</c:v>
                </c:pt>
                <c:pt idx="31">
                  <c:v>0.78400000000000003</c:v>
                </c:pt>
                <c:pt idx="32">
                  <c:v>0.82933333333333337</c:v>
                </c:pt>
                <c:pt idx="33">
                  <c:v>0.86933333333333329</c:v>
                </c:pt>
                <c:pt idx="34">
                  <c:v>0.90400000000000003</c:v>
                </c:pt>
                <c:pt idx="35">
                  <c:v>0.93333333333333335</c:v>
                </c:pt>
                <c:pt idx="36">
                  <c:v>0.95733333333333337</c:v>
                </c:pt>
                <c:pt idx="37">
                  <c:v>0.97599999999999998</c:v>
                </c:pt>
                <c:pt idx="38">
                  <c:v>0.98933333333333329</c:v>
                </c:pt>
                <c:pt idx="39">
                  <c:v>0.99733333333333329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24-472C-8811-40B0C366D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006608"/>
        <c:axId val="1356009520"/>
      </c:lineChart>
      <c:catAx>
        <c:axId val="1356006608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009520"/>
        <c:crosses val="autoZero"/>
        <c:auto val="1"/>
        <c:lblAlgn val="ctr"/>
        <c:lblOffset val="100"/>
        <c:noMultiLvlLbl val="0"/>
      </c:catAx>
      <c:valAx>
        <c:axId val="13560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00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403860</xdr:colOff>
      <xdr:row>1</xdr:row>
      <xdr:rowOff>91440</xdr:rowOff>
    </xdr:from>
    <xdr:to>
      <xdr:col>16</xdr:col>
      <xdr:colOff>182880</xdr:colOff>
      <xdr:row>27</xdr:row>
      <xdr:rowOff>129540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F4238938-7D9E-B59C-6497-3CC5417B7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312420</xdr:colOff>
      <xdr:row>6</xdr:row>
      <xdr:rowOff>22860</xdr:rowOff>
    </xdr:from>
    <xdr:to>
      <xdr:col>13</xdr:col>
      <xdr:colOff>175260</xdr:colOff>
      <xdr:row>27</xdr:row>
      <xdr:rowOff>15240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225C2502-6CDB-4C06-8C9E-0E47EE259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C59"/>
  <sheetViews>
    <sheetView workbookViewId="0">
      <selection sqref="A1:C4"/>
    </sheetView>
  </sheetViews>
  <sheetFormatPr defaultRowHeight="14.45"/>
  <cols>
    <col min="1" max="1" width="8.85546875" style="2"/>
    <col min="2" max="3" width="14.5703125" style="4" customWidth="1"/>
  </cols>
  <sheetData>
    <row r="1" spans="1:3">
      <c r="A1" s="6"/>
      <c r="B1" s="7" t="s">
        <v>0</v>
      </c>
      <c r="C1" s="8" t="s">
        <v>1</v>
      </c>
    </row>
    <row r="2" spans="1:3">
      <c r="A2" s="9" t="s">
        <v>2</v>
      </c>
      <c r="B2" s="5">
        <v>10</v>
      </c>
      <c r="C2" s="10">
        <v>15</v>
      </c>
    </row>
    <row r="3" spans="1:3">
      <c r="A3" s="9" t="s">
        <v>3</v>
      </c>
      <c r="B3" s="5">
        <v>15</v>
      </c>
      <c r="C3" s="10">
        <v>25</v>
      </c>
    </row>
    <row r="4" spans="1:3" ht="15" thickBot="1">
      <c r="A4" s="11" t="s">
        <v>4</v>
      </c>
      <c r="B4" s="12">
        <v>30</v>
      </c>
      <c r="C4" s="13">
        <v>40</v>
      </c>
    </row>
    <row r="5" spans="1:3">
      <c r="A5" s="2" t="s">
        <v>5</v>
      </c>
      <c r="B5" s="4" t="s">
        <v>6</v>
      </c>
    </row>
    <row r="6" spans="1:3">
      <c r="A6" s="2">
        <v>0</v>
      </c>
      <c r="B6" s="4" cm="1">
        <f t="array" ref="B6">TriangularDistribution_PDF(A6, $B$2,$B$3,$B$4)</f>
        <v>0</v>
      </c>
      <c r="C6" s="4" cm="1">
        <f t="array" ref="C6">TriangularDistribution_PDF(A6, $C$2,$C$3,$C$4)</f>
        <v>0</v>
      </c>
    </row>
    <row r="7" spans="1:3">
      <c r="A7" s="2">
        <v>1</v>
      </c>
      <c r="B7" s="4" cm="1">
        <f t="array" ref="B7">TriangularDistribution_PDF(A7, $B$2,$B$3,$B$4)</f>
        <v>0</v>
      </c>
      <c r="C7" s="4" cm="1">
        <f t="array" ref="C7">TriangularDistribution_PDF(A7, $C$2,$C$3,$C$4)</f>
        <v>0</v>
      </c>
    </row>
    <row r="8" spans="1:3">
      <c r="A8" s="2">
        <v>2</v>
      </c>
      <c r="B8" s="4" cm="1">
        <f t="array" ref="B8">TriangularDistribution_PDF(A8, $B$2,$B$3,$B$4)</f>
        <v>0</v>
      </c>
      <c r="C8" s="4" cm="1">
        <f t="array" ref="C8">TriangularDistribution_PDF(A8, $C$2,$C$3,$C$4)</f>
        <v>0</v>
      </c>
    </row>
    <row r="9" spans="1:3">
      <c r="A9" s="2">
        <v>3</v>
      </c>
      <c r="B9" s="4" cm="1">
        <f t="array" ref="B9">TriangularDistribution_PDF(A9, $B$2,$B$3,$B$4)</f>
        <v>0</v>
      </c>
      <c r="C9" s="4" cm="1">
        <f t="array" ref="C9">TriangularDistribution_PDF(A9, $C$2,$C$3,$C$4)</f>
        <v>0</v>
      </c>
    </row>
    <row r="10" spans="1:3">
      <c r="A10" s="2">
        <v>4</v>
      </c>
      <c r="B10" s="4" cm="1">
        <f t="array" ref="B10">TriangularDistribution_PDF(A10, $B$2,$B$3,$B$4)</f>
        <v>0</v>
      </c>
      <c r="C10" s="4" cm="1">
        <f t="array" ref="C10">TriangularDistribution_PDF(A10, $C$2,$C$3,$C$4)</f>
        <v>0</v>
      </c>
    </row>
    <row r="11" spans="1:3">
      <c r="A11" s="2">
        <v>5</v>
      </c>
      <c r="B11" s="4" cm="1">
        <f t="array" ref="B11">TriangularDistribution_PDF(A11, $B$2,$B$3,$B$4)</f>
        <v>0</v>
      </c>
      <c r="C11" s="4" cm="1">
        <f t="array" ref="C11">TriangularDistribution_PDF(A11, $C$2,$C$3,$C$4)</f>
        <v>0</v>
      </c>
    </row>
    <row r="12" spans="1:3">
      <c r="A12" s="2">
        <v>6</v>
      </c>
      <c r="B12" s="4" cm="1">
        <f t="array" ref="B12">TriangularDistribution_PDF(A12, $B$2,$B$3,$B$4)</f>
        <v>0</v>
      </c>
      <c r="C12" s="4" cm="1">
        <f t="array" ref="C12">TriangularDistribution_PDF(A12, $C$2,$C$3,$C$4)</f>
        <v>0</v>
      </c>
    </row>
    <row r="13" spans="1:3">
      <c r="A13" s="2">
        <v>7</v>
      </c>
      <c r="B13" s="4" cm="1">
        <f t="array" ref="B13">TriangularDistribution_PDF(A13, $B$2,$B$3,$B$4)</f>
        <v>0</v>
      </c>
      <c r="C13" s="4" cm="1">
        <f t="array" ref="C13">TriangularDistribution_PDF(A13, $C$2,$C$3,$C$4)</f>
        <v>0</v>
      </c>
    </row>
    <row r="14" spans="1:3">
      <c r="A14" s="2">
        <v>8</v>
      </c>
      <c r="B14" s="4" cm="1">
        <f t="array" ref="B14">TriangularDistribution_PDF(A14, $B$2,$B$3,$B$4)</f>
        <v>0</v>
      </c>
      <c r="C14" s="4" cm="1">
        <f t="array" ref="C14">TriangularDistribution_PDF(A14, $C$2,$C$3,$C$4)</f>
        <v>0</v>
      </c>
    </row>
    <row r="15" spans="1:3">
      <c r="A15" s="2">
        <v>9</v>
      </c>
      <c r="B15" s="4" cm="1">
        <f t="array" ref="B15">TriangularDistribution_PDF(A15, $B$2,$B$3,$B$4)</f>
        <v>0</v>
      </c>
      <c r="C15" s="4" cm="1">
        <f t="array" ref="C15">TriangularDistribution_PDF(A15, $C$2,$C$3,$C$4)</f>
        <v>0</v>
      </c>
    </row>
    <row r="16" spans="1:3">
      <c r="A16" s="2">
        <v>10</v>
      </c>
      <c r="B16" s="4" cm="1">
        <f t="array" ref="B16">TriangularDistribution_PDF(A16, $B$2,$B$3,$B$4)</f>
        <v>0</v>
      </c>
      <c r="C16" s="4" cm="1">
        <f t="array" ref="C16">TriangularDistribution_PDF(A16, $C$2,$C$3,$C$4)</f>
        <v>0</v>
      </c>
    </row>
    <row r="17" spans="1:3">
      <c r="A17" s="2">
        <v>11</v>
      </c>
      <c r="B17" s="4" cm="1">
        <f t="array" ref="B17">TriangularDistribution_PDF(A17, $B$2,$B$3,$B$4)</f>
        <v>0.02</v>
      </c>
      <c r="C17" s="4" cm="1">
        <f t="array" ref="C17">TriangularDistribution_PDF(A17, $C$2,$C$3,$C$4)</f>
        <v>0</v>
      </c>
    </row>
    <row r="18" spans="1:3">
      <c r="A18" s="2">
        <v>12</v>
      </c>
      <c r="B18" s="4" cm="1">
        <f t="array" ref="B18">TriangularDistribution_PDF(A18, $B$2,$B$3,$B$4)</f>
        <v>0.04</v>
      </c>
      <c r="C18" s="4" cm="1">
        <f t="array" ref="C18">TriangularDistribution_PDF(A18, $C$2,$C$3,$C$4)</f>
        <v>0</v>
      </c>
    </row>
    <row r="19" spans="1:3">
      <c r="A19" s="2">
        <v>13</v>
      </c>
      <c r="B19" s="4" cm="1">
        <f t="array" ref="B19">TriangularDistribution_PDF(A19, $B$2,$B$3,$B$4)</f>
        <v>0.06</v>
      </c>
      <c r="C19" s="4" cm="1">
        <f t="array" ref="C19">TriangularDistribution_PDF(A19, $C$2,$C$3,$C$4)</f>
        <v>0</v>
      </c>
    </row>
    <row r="20" spans="1:3">
      <c r="A20" s="2">
        <v>14</v>
      </c>
      <c r="B20" s="4" cm="1">
        <f t="array" ref="B20">TriangularDistribution_PDF(A20, $B$2,$B$3,$B$4)</f>
        <v>0.08</v>
      </c>
      <c r="C20" s="4" cm="1">
        <f t="array" ref="C20">TriangularDistribution_PDF(A20, $C$2,$C$3,$C$4)</f>
        <v>0</v>
      </c>
    </row>
    <row r="21" spans="1:3">
      <c r="A21" s="2">
        <v>15</v>
      </c>
      <c r="B21" s="4" cm="1">
        <f t="array" ref="B21">TriangularDistribution_PDF(A21, $B$2,$B$3,$B$4)</f>
        <v>0.1</v>
      </c>
      <c r="C21" s="4" cm="1">
        <f t="array" ref="C21">TriangularDistribution_PDF(A21, $C$2,$C$3,$C$4)</f>
        <v>0</v>
      </c>
    </row>
    <row r="22" spans="1:3">
      <c r="A22" s="2">
        <v>16</v>
      </c>
      <c r="B22" s="4" cm="1">
        <f t="array" ref="B22">TriangularDistribution_PDF(A22, $B$2,$B$3,$B$4)</f>
        <v>9.3333333333333338E-2</v>
      </c>
      <c r="C22" s="4" cm="1">
        <f t="array" ref="C22">TriangularDistribution_PDF(A22, $C$2,$C$3,$C$4)</f>
        <v>8.0000000000000002E-3</v>
      </c>
    </row>
    <row r="23" spans="1:3">
      <c r="A23" s="2">
        <v>17</v>
      </c>
      <c r="B23" s="4" cm="1">
        <f t="array" ref="B23">TriangularDistribution_PDF(A23, $B$2,$B$3,$B$4)</f>
        <v>8.666666666666667E-2</v>
      </c>
      <c r="C23" s="4" cm="1">
        <f t="array" ref="C23">TriangularDistribution_PDF(A23, $C$2,$C$3,$C$4)</f>
        <v>1.6E-2</v>
      </c>
    </row>
    <row r="24" spans="1:3">
      <c r="A24" s="2">
        <v>18</v>
      </c>
      <c r="B24" s="4" cm="1">
        <f t="array" ref="B24">TriangularDistribution_PDF(A24, $B$2,$B$3,$B$4)</f>
        <v>0.08</v>
      </c>
      <c r="C24" s="4" cm="1">
        <f t="array" ref="C24">TriangularDistribution_PDF(A24, $C$2,$C$3,$C$4)</f>
        <v>2.4E-2</v>
      </c>
    </row>
    <row r="25" spans="1:3">
      <c r="A25" s="2">
        <v>19</v>
      </c>
      <c r="B25" s="4" cm="1">
        <f t="array" ref="B25">TriangularDistribution_PDF(A25, $B$2,$B$3,$B$4)</f>
        <v>7.3333333333333334E-2</v>
      </c>
      <c r="C25" s="4" cm="1">
        <f t="array" ref="C25">TriangularDistribution_PDF(A25, $C$2,$C$3,$C$4)</f>
        <v>3.2000000000000001E-2</v>
      </c>
    </row>
    <row r="26" spans="1:3" ht="13.7" customHeight="1">
      <c r="A26" s="2">
        <v>20</v>
      </c>
      <c r="B26" s="4" cm="1">
        <f t="array" ref="B26">TriangularDistribution_PDF(A26, $B$2,$B$3,$B$4)</f>
        <v>6.6666666666666666E-2</v>
      </c>
      <c r="C26" s="4" cm="1">
        <f t="array" ref="C26">TriangularDistribution_PDF(A26, $C$2,$C$3,$C$4)</f>
        <v>0.04</v>
      </c>
    </row>
    <row r="27" spans="1:3">
      <c r="A27" s="2">
        <v>21</v>
      </c>
      <c r="B27" s="4" cm="1">
        <f t="array" ref="B27">TriangularDistribution_PDF(A27, $B$2,$B$3,$B$4)</f>
        <v>0.06</v>
      </c>
      <c r="C27" s="4" cm="1">
        <f t="array" ref="C27">TriangularDistribution_PDF(A27, $C$2,$C$3,$C$4)</f>
        <v>4.8000000000000001E-2</v>
      </c>
    </row>
    <row r="28" spans="1:3">
      <c r="A28" s="2">
        <v>22</v>
      </c>
      <c r="B28" s="4" cm="1">
        <f t="array" ref="B28">TriangularDistribution_PDF(A28, $B$2,$B$3,$B$4)</f>
        <v>5.3333333333333337E-2</v>
      </c>
      <c r="C28" s="4" cm="1">
        <f t="array" ref="C28">TriangularDistribution_PDF(A28, $C$2,$C$3,$C$4)</f>
        <v>5.6000000000000001E-2</v>
      </c>
    </row>
    <row r="29" spans="1:3">
      <c r="A29" s="2">
        <v>23</v>
      </c>
      <c r="B29" s="4" cm="1">
        <f t="array" ref="B29">TriangularDistribution_PDF(A29, $B$2,$B$3,$B$4)</f>
        <v>4.6666666666666669E-2</v>
      </c>
      <c r="C29" s="4" cm="1">
        <f t="array" ref="C29">TriangularDistribution_PDF(A29, $C$2,$C$3,$C$4)</f>
        <v>6.4000000000000001E-2</v>
      </c>
    </row>
    <row r="30" spans="1:3">
      <c r="A30" s="2">
        <v>24</v>
      </c>
      <c r="B30" s="4" cm="1">
        <f t="array" ref="B30">TriangularDistribution_PDF(A30, $B$2,$B$3,$B$4)</f>
        <v>0.04</v>
      </c>
      <c r="C30" s="4" cm="1">
        <f t="array" ref="C30">TriangularDistribution_PDF(A30, $C$2,$C$3,$C$4)</f>
        <v>7.1999999999999995E-2</v>
      </c>
    </row>
    <row r="31" spans="1:3">
      <c r="A31" s="2">
        <v>25</v>
      </c>
      <c r="B31" s="4" cm="1">
        <f t="array" ref="B31">TriangularDistribution_PDF(A31, $B$2,$B$3,$B$4)</f>
        <v>3.3333333333333333E-2</v>
      </c>
      <c r="C31" s="4" cm="1">
        <f t="array" ref="C31">TriangularDistribution_PDF(A31, $C$2,$C$3,$C$4)</f>
        <v>0.08</v>
      </c>
    </row>
    <row r="32" spans="1:3">
      <c r="A32" s="2">
        <v>26</v>
      </c>
      <c r="B32" s="4" cm="1">
        <f t="array" ref="B32">TriangularDistribution_PDF(A32, $B$2,$B$3,$B$4)</f>
        <v>2.6666666666666668E-2</v>
      </c>
      <c r="C32" s="4" cm="1">
        <f t="array" ref="C32">TriangularDistribution_PDF(A32, $C$2,$C$3,$C$4)</f>
        <v>7.4666666666666673E-2</v>
      </c>
    </row>
    <row r="33" spans="1:3">
      <c r="A33" s="2">
        <v>27</v>
      </c>
      <c r="B33" s="4" cm="1">
        <f t="array" ref="B33">TriangularDistribution_PDF(A33, $B$2,$B$3,$B$4)</f>
        <v>0.02</v>
      </c>
      <c r="C33" s="4" cm="1">
        <f t="array" ref="C33">TriangularDistribution_PDF(A33, $C$2,$C$3,$C$4)</f>
        <v>6.933333333333333E-2</v>
      </c>
    </row>
    <row r="34" spans="1:3">
      <c r="A34" s="2">
        <v>28</v>
      </c>
      <c r="B34" s="4" cm="1">
        <f t="array" ref="B34">TriangularDistribution_PDF(A34, $B$2,$B$3,$B$4)</f>
        <v>1.3333333333333334E-2</v>
      </c>
      <c r="C34" s="4" cm="1">
        <f t="array" ref="C34">TriangularDistribution_PDF(A34, $C$2,$C$3,$C$4)</f>
        <v>6.4000000000000001E-2</v>
      </c>
    </row>
    <row r="35" spans="1:3">
      <c r="A35" s="2">
        <v>29</v>
      </c>
      <c r="B35" s="4" cm="1">
        <f t="array" ref="B35">TriangularDistribution_PDF(A35, $B$2,$B$3,$B$4)</f>
        <v>6.6666666666666671E-3</v>
      </c>
      <c r="C35" s="4" cm="1">
        <f t="array" ref="C35">TriangularDistribution_PDF(A35, $C$2,$C$3,$C$4)</f>
        <v>5.8666666666666666E-2</v>
      </c>
    </row>
    <row r="36" spans="1:3">
      <c r="A36" s="2">
        <v>30</v>
      </c>
      <c r="B36" s="4" cm="1">
        <f t="array" ref="B36">TriangularDistribution_PDF(A36, $B$2,$B$3,$B$4)</f>
        <v>0</v>
      </c>
      <c r="C36" s="4" cm="1">
        <f t="array" ref="C36">TriangularDistribution_PDF(A36, $C$2,$C$3,$C$4)</f>
        <v>5.3333333333333337E-2</v>
      </c>
    </row>
    <row r="37" spans="1:3">
      <c r="A37" s="2">
        <v>31</v>
      </c>
      <c r="B37" s="4" cm="1">
        <f t="array" ref="B37">TriangularDistribution_PDF(A37, $B$2,$B$3,$B$4)</f>
        <v>0</v>
      </c>
      <c r="C37" s="4" cm="1">
        <f t="array" ref="C37">TriangularDistribution_PDF(A37, $C$2,$C$3,$C$4)</f>
        <v>4.8000000000000001E-2</v>
      </c>
    </row>
    <row r="38" spans="1:3">
      <c r="A38" s="2">
        <v>32</v>
      </c>
      <c r="B38" s="4" cm="1">
        <f t="array" ref="B38">TriangularDistribution_PDF(A38, $B$2,$B$3,$B$4)</f>
        <v>0</v>
      </c>
      <c r="C38" s="4" cm="1">
        <f t="array" ref="C38">TriangularDistribution_PDF(A38, $C$2,$C$3,$C$4)</f>
        <v>4.2666666666666665E-2</v>
      </c>
    </row>
    <row r="39" spans="1:3">
      <c r="A39" s="2">
        <v>33</v>
      </c>
      <c r="B39" s="4" cm="1">
        <f t="array" ref="B39">TriangularDistribution_PDF(A39, $B$2,$B$3,$B$4)</f>
        <v>0</v>
      </c>
      <c r="C39" s="4" cm="1">
        <f t="array" ref="C39">TriangularDistribution_PDF(A39, $C$2,$C$3,$C$4)</f>
        <v>3.7333333333333336E-2</v>
      </c>
    </row>
    <row r="40" spans="1:3">
      <c r="A40" s="2">
        <v>34</v>
      </c>
      <c r="B40" s="4" cm="1">
        <f t="array" ref="B40">TriangularDistribution_PDF(A40, $B$2,$B$3,$B$4)</f>
        <v>0</v>
      </c>
      <c r="C40" s="4" cm="1">
        <f t="array" ref="C40">TriangularDistribution_PDF(A40, $C$2,$C$3,$C$4)</f>
        <v>3.2000000000000001E-2</v>
      </c>
    </row>
    <row r="41" spans="1:3">
      <c r="A41" s="2">
        <v>35</v>
      </c>
      <c r="B41" s="4" cm="1">
        <f t="array" ref="B41">TriangularDistribution_PDF(A41, $B$2,$B$3,$B$4)</f>
        <v>0</v>
      </c>
      <c r="C41" s="4" cm="1">
        <f t="array" ref="C41">TriangularDistribution_PDF(A41, $C$2,$C$3,$C$4)</f>
        <v>2.6666666666666668E-2</v>
      </c>
    </row>
    <row r="42" spans="1:3">
      <c r="A42" s="2">
        <v>36</v>
      </c>
      <c r="B42" s="4" cm="1">
        <f t="array" ref="B42">TriangularDistribution_PDF(A42, $B$2,$B$3,$B$4)</f>
        <v>0</v>
      </c>
      <c r="C42" s="4" cm="1">
        <f t="array" ref="C42">TriangularDistribution_PDF(A42, $C$2,$C$3,$C$4)</f>
        <v>2.1333333333333333E-2</v>
      </c>
    </row>
    <row r="43" spans="1:3">
      <c r="A43" s="2">
        <v>37</v>
      </c>
      <c r="B43" s="4" cm="1">
        <f t="array" ref="B43">TriangularDistribution_PDF(A43, $B$2,$B$3,$B$4)</f>
        <v>0</v>
      </c>
      <c r="C43" s="4" cm="1">
        <f t="array" ref="C43">TriangularDistribution_PDF(A43, $C$2,$C$3,$C$4)</f>
        <v>1.6E-2</v>
      </c>
    </row>
    <row r="44" spans="1:3">
      <c r="A44" s="2">
        <v>38</v>
      </c>
      <c r="B44" s="4" cm="1">
        <f t="array" ref="B44">TriangularDistribution_PDF(A44, $B$2,$B$3,$B$4)</f>
        <v>0</v>
      </c>
      <c r="C44" s="4" cm="1">
        <f t="array" ref="C44">TriangularDistribution_PDF(A44, $C$2,$C$3,$C$4)</f>
        <v>1.0666666666666666E-2</v>
      </c>
    </row>
    <row r="45" spans="1:3">
      <c r="A45" s="2">
        <v>39</v>
      </c>
      <c r="B45" s="4" cm="1">
        <f t="array" ref="B45">TriangularDistribution_PDF(A45, $B$2,$B$3,$B$4)</f>
        <v>0</v>
      </c>
      <c r="C45" s="4" cm="1">
        <f t="array" ref="C45">TriangularDistribution_PDF(A45, $C$2,$C$3,$C$4)</f>
        <v>5.3333333333333332E-3</v>
      </c>
    </row>
    <row r="46" spans="1:3">
      <c r="A46" s="2">
        <v>40</v>
      </c>
      <c r="B46" s="4" cm="1">
        <f t="array" ref="B46">TriangularDistribution_PDF(A46, $B$2,$B$3,$B$4)</f>
        <v>0</v>
      </c>
      <c r="C46" s="4" cm="1">
        <f t="array" ref="C46">TriangularDistribution_PDF(A46, $C$2,$C$3,$C$4)</f>
        <v>0</v>
      </c>
    </row>
    <row r="47" spans="1:3">
      <c r="A47" s="2">
        <v>41</v>
      </c>
      <c r="B47" s="4" cm="1">
        <f t="array" ref="B47">TriangularDistribution_PDF(A47, $B$2,$B$3,$B$4)</f>
        <v>0</v>
      </c>
      <c r="C47" s="4" cm="1">
        <f t="array" ref="C47">TriangularDistribution_PDF(A47, $C$2,$C$3,$C$4)</f>
        <v>0</v>
      </c>
    </row>
    <row r="48" spans="1:3">
      <c r="A48" s="2">
        <v>42</v>
      </c>
      <c r="B48" s="4" cm="1">
        <f t="array" ref="B48">TriangularDistribution_PDF(A48, $B$2,$B$3,$B$4)</f>
        <v>0</v>
      </c>
      <c r="C48" s="4" cm="1">
        <f t="array" ref="C48">TriangularDistribution_PDF(A48, $C$2,$C$3,$C$4)</f>
        <v>0</v>
      </c>
    </row>
    <row r="49" spans="1:3">
      <c r="A49" s="2">
        <v>43</v>
      </c>
      <c r="B49" s="4" cm="1">
        <f t="array" ref="B49">TriangularDistribution_PDF(A49, $B$2,$B$3,$B$4)</f>
        <v>0</v>
      </c>
      <c r="C49" s="4" cm="1">
        <f t="array" ref="C49">TriangularDistribution_PDF(A49, $C$2,$C$3,$C$4)</f>
        <v>0</v>
      </c>
    </row>
    <row r="50" spans="1:3">
      <c r="A50" s="2">
        <v>44</v>
      </c>
      <c r="B50" s="4" cm="1">
        <f t="array" ref="B50">TriangularDistribution_PDF(A50, $B$2,$B$3,$B$4)</f>
        <v>0</v>
      </c>
      <c r="C50" s="4" cm="1">
        <f t="array" ref="C50">TriangularDistribution_PDF(A50, $C$2,$C$3,$C$4)</f>
        <v>0</v>
      </c>
    </row>
    <row r="51" spans="1:3">
      <c r="A51" s="2">
        <v>45</v>
      </c>
      <c r="B51" s="4" cm="1">
        <f t="array" ref="B51">TriangularDistribution_PDF(A51, $B$2,$B$3,$B$4)</f>
        <v>0</v>
      </c>
      <c r="C51" s="4" cm="1">
        <f t="array" ref="C51">TriangularDistribution_PDF(A51, $C$2,$C$3,$C$4)</f>
        <v>0</v>
      </c>
    </row>
    <row r="52" spans="1:3">
      <c r="A52" s="2">
        <v>46</v>
      </c>
      <c r="B52" s="4" cm="1">
        <f t="array" ref="B52">TriangularDistribution_PDF(A52, $B$2,$B$3,$B$4)</f>
        <v>0</v>
      </c>
      <c r="C52" s="4" cm="1">
        <f t="array" ref="C52">TriangularDistribution_PDF(A52, $C$2,$C$3,$C$4)</f>
        <v>0</v>
      </c>
    </row>
    <row r="53" spans="1:3">
      <c r="A53" s="2">
        <v>47</v>
      </c>
      <c r="B53" s="4" cm="1">
        <f t="array" ref="B53">TriangularDistribution_PDF(A53, $B$2,$B$3,$B$4)</f>
        <v>0</v>
      </c>
      <c r="C53" s="4" cm="1">
        <f t="array" ref="C53">TriangularDistribution_PDF(A53, $C$2,$C$3,$C$4)</f>
        <v>0</v>
      </c>
    </row>
    <row r="54" spans="1:3">
      <c r="A54" s="2">
        <v>48</v>
      </c>
      <c r="B54" s="4" cm="1">
        <f t="array" ref="B54">TriangularDistribution_PDF(A54, $B$2,$B$3,$B$4)</f>
        <v>0</v>
      </c>
      <c r="C54" s="4" cm="1">
        <f t="array" ref="C54">TriangularDistribution_PDF(A54, $C$2,$C$3,$C$4)</f>
        <v>0</v>
      </c>
    </row>
    <row r="55" spans="1:3">
      <c r="A55" s="2">
        <v>49</v>
      </c>
      <c r="B55" s="4" cm="1">
        <f t="array" ref="B55">TriangularDistribution_PDF(A55, $B$2,$B$3,$B$4)</f>
        <v>0</v>
      </c>
      <c r="C55" s="4" cm="1">
        <f t="array" ref="C55">TriangularDistribution_PDF(A55, $C$2,$C$3,$C$4)</f>
        <v>0</v>
      </c>
    </row>
    <row r="56" spans="1:3">
      <c r="A56" s="2">
        <v>50</v>
      </c>
      <c r="B56" s="4" cm="1">
        <f t="array" ref="B56">TriangularDistribution_PDF(A56, $B$2,$B$3,$B$4)</f>
        <v>0</v>
      </c>
      <c r="C56" s="4" cm="1">
        <f t="array" ref="C56">TriangularDistribution_PDF(A56, $C$2,$C$3,$C$4)</f>
        <v>0</v>
      </c>
    </row>
    <row r="57" spans="1:3">
      <c r="A57" s="2">
        <v>51</v>
      </c>
      <c r="B57" s="4" cm="1">
        <f t="array" ref="B57">TriangularDistribution_PDF(A57, $B$2,$B$3,$B$4)</f>
        <v>0</v>
      </c>
      <c r="C57" s="4" cm="1">
        <f t="array" ref="C57">TriangularDistribution_PDF(A57, $C$2,$C$3,$C$4)</f>
        <v>0</v>
      </c>
    </row>
    <row r="58" spans="1:3">
      <c r="A58" s="2">
        <v>52</v>
      </c>
      <c r="B58" s="4" cm="1">
        <f t="array" ref="B58">TriangularDistribution_PDF(A58, $B$2,$B$3,$B$4)</f>
        <v>0</v>
      </c>
      <c r="C58" s="4" cm="1">
        <f t="array" ref="C58">TriangularDistribution_PDF(A58, $C$2,$C$3,$C$4)</f>
        <v>0</v>
      </c>
    </row>
    <row r="59" spans="1:3">
      <c r="A59" s="2">
        <v>53</v>
      </c>
      <c r="B59" s="4" cm="1">
        <f t="array" ref="B59">TriangularDistribution_PDF(A59, $B$2,$B$3,$B$4)</f>
        <v>0</v>
      </c>
      <c r="C59" s="4" cm="1">
        <f t="array" ref="C59">TriangularDistribution_PDF(A59, $C$2,$C$3,$C$4)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F54"/>
  <sheetViews>
    <sheetView workbookViewId="0">
      <selection activeCell="G4" sqref="G4"/>
    </sheetView>
  </sheetViews>
  <sheetFormatPr defaultRowHeight="14.45"/>
  <cols>
    <col min="1" max="1" width="8.85546875" style="1"/>
    <col min="2" max="3" width="14.5703125" style="1" customWidth="1"/>
  </cols>
  <sheetData>
    <row r="1" spans="1:6">
      <c r="A1" s="6"/>
      <c r="B1" s="7" t="s">
        <v>0</v>
      </c>
      <c r="C1" s="8" t="s">
        <v>1</v>
      </c>
      <c r="E1" s="26"/>
      <c r="F1" s="26"/>
    </row>
    <row r="2" spans="1:6">
      <c r="A2" s="9" t="s">
        <v>2</v>
      </c>
      <c r="B2" s="5">
        <f>PDF!B2</f>
        <v>10</v>
      </c>
      <c r="C2" s="10">
        <f>PDF!C2</f>
        <v>15</v>
      </c>
    </row>
    <row r="3" spans="1:6">
      <c r="A3" s="9" t="s">
        <v>3</v>
      </c>
      <c r="B3" s="5">
        <f>PDF!B3</f>
        <v>15</v>
      </c>
      <c r="C3" s="10">
        <f>PDF!C3</f>
        <v>25</v>
      </c>
    </row>
    <row r="4" spans="1:6" ht="15" thickBot="1">
      <c r="A4" s="11" t="s">
        <v>4</v>
      </c>
      <c r="B4" s="12">
        <f>PDF!B4</f>
        <v>30</v>
      </c>
      <c r="C4" s="13">
        <f>PDF!C4</f>
        <v>40</v>
      </c>
    </row>
    <row r="6" spans="1:6">
      <c r="A6" s="1" t="s">
        <v>5</v>
      </c>
      <c r="B6" s="1" t="s">
        <v>6</v>
      </c>
    </row>
    <row r="7" spans="1:6">
      <c r="A7" s="3">
        <v>0</v>
      </c>
      <c r="B7" s="1" cm="1">
        <f t="array" ref="B7">TriangularDistribution_CDF(A7, $B$2,$B$3,$B$4)</f>
        <v>0</v>
      </c>
      <c r="C7" s="1" cm="1">
        <f t="array" ref="C7">TriangularDistribution_CDF(A7, $C$2,$C$3,$C$4)</f>
        <v>0</v>
      </c>
    </row>
    <row r="8" spans="1:6">
      <c r="A8" s="3">
        <v>1</v>
      </c>
      <c r="B8" s="1" cm="1">
        <f t="array" ref="B8">TriangularDistribution_CDF(A8, $B$2,$B$3,$B$4)</f>
        <v>0</v>
      </c>
      <c r="C8" s="1" cm="1">
        <f t="array" ref="C8">TriangularDistribution_CDF(A8, $C$2,$C$3,$C$4)</f>
        <v>0</v>
      </c>
    </row>
    <row r="9" spans="1:6">
      <c r="A9" s="3">
        <v>2</v>
      </c>
      <c r="B9" s="1" cm="1">
        <f t="array" ref="B9">TriangularDistribution_CDF(A9, $B$2,$B$3,$B$4)</f>
        <v>0</v>
      </c>
      <c r="C9" s="1" cm="1">
        <f t="array" ref="C9">TriangularDistribution_CDF(A9, $C$2,$C$3,$C$4)</f>
        <v>0</v>
      </c>
    </row>
    <row r="10" spans="1:6">
      <c r="A10" s="3">
        <v>3</v>
      </c>
      <c r="B10" s="1" cm="1">
        <f t="array" ref="B10">TriangularDistribution_CDF(A10, $B$2,$B$3,$B$4)</f>
        <v>0</v>
      </c>
      <c r="C10" s="1" cm="1">
        <f t="array" ref="C10">TriangularDistribution_CDF(A10, $C$2,$C$3,$C$4)</f>
        <v>0</v>
      </c>
    </row>
    <row r="11" spans="1:6">
      <c r="A11" s="3">
        <v>4</v>
      </c>
      <c r="B11" s="1" cm="1">
        <f t="array" ref="B11">TriangularDistribution_CDF(A11, $B$2,$B$3,$B$4)</f>
        <v>0</v>
      </c>
      <c r="C11" s="1" cm="1">
        <f t="array" ref="C11">TriangularDistribution_CDF(A11, $C$2,$C$3,$C$4)</f>
        <v>0</v>
      </c>
    </row>
    <row r="12" spans="1:6">
      <c r="A12" s="3">
        <v>5</v>
      </c>
      <c r="B12" s="1" cm="1">
        <f t="array" ref="B12">TriangularDistribution_CDF(A12, $B$2,$B$3,$B$4)</f>
        <v>0</v>
      </c>
      <c r="C12" s="1" cm="1">
        <f t="array" ref="C12">TriangularDistribution_CDF(A12, $C$2,$C$3,$C$4)</f>
        <v>0</v>
      </c>
    </row>
    <row r="13" spans="1:6">
      <c r="A13" s="3">
        <v>6</v>
      </c>
      <c r="B13" s="1" cm="1">
        <f t="array" ref="B13">TriangularDistribution_CDF(A13, $B$2,$B$3,$B$4)</f>
        <v>0</v>
      </c>
      <c r="C13" s="1" cm="1">
        <f t="array" ref="C13">TriangularDistribution_CDF(A13, $C$2,$C$3,$C$4)</f>
        <v>0</v>
      </c>
    </row>
    <row r="14" spans="1:6">
      <c r="A14" s="3">
        <v>7</v>
      </c>
      <c r="B14" s="1" cm="1">
        <f t="array" ref="B14">TriangularDistribution_CDF(A14, $B$2,$B$3,$B$4)</f>
        <v>0</v>
      </c>
      <c r="C14" s="1" cm="1">
        <f t="array" ref="C14">TriangularDistribution_CDF(A14, $C$2,$C$3,$C$4)</f>
        <v>0</v>
      </c>
    </row>
    <row r="15" spans="1:6">
      <c r="A15" s="3">
        <v>8</v>
      </c>
      <c r="B15" s="1" cm="1">
        <f t="array" ref="B15">TriangularDistribution_CDF(A15, $B$2,$B$3,$B$4)</f>
        <v>0</v>
      </c>
      <c r="C15" s="1" cm="1">
        <f t="array" ref="C15">TriangularDistribution_CDF(A15, $C$2,$C$3,$C$4)</f>
        <v>0</v>
      </c>
    </row>
    <row r="16" spans="1:6">
      <c r="A16" s="3">
        <v>9</v>
      </c>
      <c r="B16" s="1" cm="1">
        <f t="array" ref="B16">TriangularDistribution_CDF(A16, $B$2,$B$3,$B$4)</f>
        <v>0</v>
      </c>
      <c r="C16" s="1" cm="1">
        <f t="array" ref="C16">TriangularDistribution_CDF(A16, $C$2,$C$3,$C$4)</f>
        <v>0</v>
      </c>
    </row>
    <row r="17" spans="1:3">
      <c r="A17" s="3">
        <v>10</v>
      </c>
      <c r="B17" s="1" cm="1">
        <f t="array" ref="B17">TriangularDistribution_CDF(A17, $B$2,$B$3,$B$4)</f>
        <v>0</v>
      </c>
      <c r="C17" s="1" cm="1">
        <f t="array" ref="C17">TriangularDistribution_CDF(A17, $C$2,$C$3,$C$4)</f>
        <v>0</v>
      </c>
    </row>
    <row r="18" spans="1:3">
      <c r="A18" s="3">
        <v>11</v>
      </c>
      <c r="B18" s="1" cm="1">
        <f t="array" ref="B18">TriangularDistribution_CDF(A18, $B$2,$B$3,$B$4)</f>
        <v>0.01</v>
      </c>
      <c r="C18" s="1" cm="1">
        <f t="array" ref="C18">TriangularDistribution_CDF(A18, $C$2,$C$3,$C$4)</f>
        <v>0</v>
      </c>
    </row>
    <row r="19" spans="1:3">
      <c r="A19" s="3">
        <v>12</v>
      </c>
      <c r="B19" s="1" cm="1">
        <f t="array" ref="B19">TriangularDistribution_CDF(A19, $B$2,$B$3,$B$4)</f>
        <v>0.04</v>
      </c>
      <c r="C19" s="1" cm="1">
        <f t="array" ref="C19">TriangularDistribution_CDF(A19, $C$2,$C$3,$C$4)</f>
        <v>0</v>
      </c>
    </row>
    <row r="20" spans="1:3">
      <c r="A20" s="3">
        <v>13</v>
      </c>
      <c r="B20" s="1" cm="1">
        <f t="array" ref="B20">TriangularDistribution_CDF(A20, $B$2,$B$3,$B$4)</f>
        <v>0.09</v>
      </c>
      <c r="C20" s="1" cm="1">
        <f t="array" ref="C20">TriangularDistribution_CDF(A20, $C$2,$C$3,$C$4)</f>
        <v>0</v>
      </c>
    </row>
    <row r="21" spans="1:3">
      <c r="A21" s="3">
        <v>14</v>
      </c>
      <c r="B21" s="1" cm="1">
        <f t="array" ref="B21">TriangularDistribution_CDF(A21, $B$2,$B$3,$B$4)</f>
        <v>0.16</v>
      </c>
      <c r="C21" s="1" cm="1">
        <f t="array" ref="C21">TriangularDistribution_CDF(A21, $C$2,$C$3,$C$4)</f>
        <v>0</v>
      </c>
    </row>
    <row r="22" spans="1:3">
      <c r="A22" s="3">
        <v>15</v>
      </c>
      <c r="B22" s="1" cm="1">
        <f t="array" ref="B22">TriangularDistribution_CDF(A22, $B$2,$B$3,$B$4)</f>
        <v>0.25</v>
      </c>
      <c r="C22" s="1" cm="1">
        <f t="array" ref="C22">TriangularDistribution_CDF(A22, $C$2,$C$3,$C$4)</f>
        <v>0</v>
      </c>
    </row>
    <row r="23" spans="1:3">
      <c r="A23" s="3">
        <v>16</v>
      </c>
      <c r="B23" s="1" cm="1">
        <f t="array" ref="B23">TriangularDistribution_CDF(A23, $B$2,$B$3,$B$4)</f>
        <v>0.34666666666666668</v>
      </c>
      <c r="C23" s="1" cm="1">
        <f t="array" ref="C23">TriangularDistribution_CDF(A23, $C$2,$C$3,$C$4)</f>
        <v>4.0000000000000001E-3</v>
      </c>
    </row>
    <row r="24" spans="1:3">
      <c r="A24" s="3">
        <v>17</v>
      </c>
      <c r="B24" s="1" cm="1">
        <f t="array" ref="B24">TriangularDistribution_CDF(A24, $B$2,$B$3,$B$4)</f>
        <v>0.43666666666666665</v>
      </c>
      <c r="C24" s="1" cm="1">
        <f t="array" ref="C24">TriangularDistribution_CDF(A24, $C$2,$C$3,$C$4)</f>
        <v>1.6E-2</v>
      </c>
    </row>
    <row r="25" spans="1:3">
      <c r="A25" s="3">
        <v>18</v>
      </c>
      <c r="B25" s="1" cm="1">
        <f t="array" ref="B25">TriangularDistribution_CDF(A25, $B$2,$B$3,$B$4)</f>
        <v>0.52</v>
      </c>
      <c r="C25" s="1" cm="1">
        <f t="array" ref="C25">TriangularDistribution_CDF(A25, $C$2,$C$3,$C$4)</f>
        <v>3.5999999999999997E-2</v>
      </c>
    </row>
    <row r="26" spans="1:3">
      <c r="A26" s="3">
        <v>19</v>
      </c>
      <c r="B26" s="1" cm="1">
        <f t="array" ref="B26">TriangularDistribution_CDF(A26, $B$2,$B$3,$B$4)</f>
        <v>0.59666666666666668</v>
      </c>
      <c r="C26" s="1" cm="1">
        <f t="array" ref="C26">TriangularDistribution_CDF(A26, $C$2,$C$3,$C$4)</f>
        <v>6.4000000000000001E-2</v>
      </c>
    </row>
    <row r="27" spans="1:3" ht="13.7" customHeight="1">
      <c r="A27" s="3">
        <v>20</v>
      </c>
      <c r="B27" s="1" cm="1">
        <f t="array" ref="B27">TriangularDistribution_CDF(A27, $B$2,$B$3,$B$4)</f>
        <v>0.66666666666666663</v>
      </c>
      <c r="C27" s="1" cm="1">
        <f t="array" ref="C27">TriangularDistribution_CDF(A27, $C$2,$C$3,$C$4)</f>
        <v>0.1</v>
      </c>
    </row>
    <row r="28" spans="1:3">
      <c r="A28" s="3">
        <v>21</v>
      </c>
      <c r="B28" s="1" cm="1">
        <f t="array" ref="B28">TriangularDistribution_CDF(A28, $B$2,$B$3,$B$4)</f>
        <v>0.73</v>
      </c>
      <c r="C28" s="1" cm="1">
        <f t="array" ref="C28">TriangularDistribution_CDF(A28, $C$2,$C$3,$C$4)</f>
        <v>0.14399999999999999</v>
      </c>
    </row>
    <row r="29" spans="1:3">
      <c r="A29" s="3">
        <v>22</v>
      </c>
      <c r="B29" s="1" cm="1">
        <f t="array" ref="B29">TriangularDistribution_CDF(A29, $B$2,$B$3,$B$4)</f>
        <v>0.78666666666666663</v>
      </c>
      <c r="C29" s="1" cm="1">
        <f t="array" ref="C29">TriangularDistribution_CDF(A29, $C$2,$C$3,$C$4)</f>
        <v>0.19600000000000001</v>
      </c>
    </row>
    <row r="30" spans="1:3">
      <c r="A30" s="3">
        <v>23</v>
      </c>
      <c r="B30" s="1" cm="1">
        <f t="array" ref="B30">TriangularDistribution_CDF(A30, $B$2,$B$3,$B$4)</f>
        <v>0.83666666666666667</v>
      </c>
      <c r="C30" s="1" cm="1">
        <f t="array" ref="C30">TriangularDistribution_CDF(A30, $C$2,$C$3,$C$4)</f>
        <v>0.25600000000000001</v>
      </c>
    </row>
    <row r="31" spans="1:3">
      <c r="A31" s="3">
        <v>24</v>
      </c>
      <c r="B31" s="1" cm="1">
        <f t="array" ref="B31">TriangularDistribution_CDF(A31, $B$2,$B$3,$B$4)</f>
        <v>0.88</v>
      </c>
      <c r="C31" s="1" cm="1">
        <f t="array" ref="C31">TriangularDistribution_CDF(A31, $C$2,$C$3,$C$4)</f>
        <v>0.32400000000000001</v>
      </c>
    </row>
    <row r="32" spans="1:3">
      <c r="A32" s="3">
        <v>25</v>
      </c>
      <c r="B32" s="1" cm="1">
        <f t="array" ref="B32">TriangularDistribution_CDF(A32, $B$2,$B$3,$B$4)</f>
        <v>0.91666666666666663</v>
      </c>
      <c r="C32" s="1" cm="1">
        <f t="array" ref="C32">TriangularDistribution_CDF(A32, $C$2,$C$3,$C$4)</f>
        <v>0.4</v>
      </c>
    </row>
    <row r="33" spans="1:3">
      <c r="A33" s="3">
        <v>26</v>
      </c>
      <c r="B33" s="1" cm="1">
        <f t="array" ref="B33">TriangularDistribution_CDF(A33, $B$2,$B$3,$B$4)</f>
        <v>0.94666666666666666</v>
      </c>
      <c r="C33" s="1" cm="1">
        <f t="array" ref="C33">TriangularDistribution_CDF(A33, $C$2,$C$3,$C$4)</f>
        <v>0.47733333333333333</v>
      </c>
    </row>
    <row r="34" spans="1:3">
      <c r="A34" s="3">
        <v>27</v>
      </c>
      <c r="B34" s="1" cm="1">
        <f t="array" ref="B34">TriangularDistribution_CDF(A34, $B$2,$B$3,$B$4)</f>
        <v>0.97</v>
      </c>
      <c r="C34" s="1" cm="1">
        <f t="array" ref="C34">TriangularDistribution_CDF(A34, $C$2,$C$3,$C$4)</f>
        <v>0.54933333333333334</v>
      </c>
    </row>
    <row r="35" spans="1:3">
      <c r="A35" s="3">
        <v>28</v>
      </c>
      <c r="B35" s="1" cm="1">
        <f t="array" ref="B35">TriangularDistribution_CDF(A35, $B$2,$B$3,$B$4)</f>
        <v>0.98666666666666669</v>
      </c>
      <c r="C35" s="1" cm="1">
        <f t="array" ref="C35">TriangularDistribution_CDF(A35, $C$2,$C$3,$C$4)</f>
        <v>0.61599999999999999</v>
      </c>
    </row>
    <row r="36" spans="1:3">
      <c r="A36" s="3">
        <v>29</v>
      </c>
      <c r="B36" s="1" cm="1">
        <f t="array" ref="B36">TriangularDistribution_CDF(A36, $B$2,$B$3,$B$4)</f>
        <v>0.9966666666666667</v>
      </c>
      <c r="C36" s="1" cm="1">
        <f t="array" ref="C36">TriangularDistribution_CDF(A36, $C$2,$C$3,$C$4)</f>
        <v>0.67733333333333334</v>
      </c>
    </row>
    <row r="37" spans="1:3">
      <c r="A37" s="3">
        <v>30</v>
      </c>
      <c r="B37" s="1" cm="1">
        <f t="array" ref="B37">TriangularDistribution_CDF(A37, $B$2,$B$3,$B$4)</f>
        <v>1</v>
      </c>
      <c r="C37" s="1" cm="1">
        <f t="array" ref="C37">TriangularDistribution_CDF(A37, $C$2,$C$3,$C$4)</f>
        <v>0.73333333333333328</v>
      </c>
    </row>
    <row r="38" spans="1:3">
      <c r="A38" s="3">
        <v>31</v>
      </c>
      <c r="B38" s="1" cm="1">
        <f t="array" ref="B38">TriangularDistribution_CDF(A38, $B$2,$B$3,$B$4)</f>
        <v>1</v>
      </c>
      <c r="C38" s="1" cm="1">
        <f t="array" ref="C38">TriangularDistribution_CDF(A38, $C$2,$C$3,$C$4)</f>
        <v>0.78400000000000003</v>
      </c>
    </row>
    <row r="39" spans="1:3">
      <c r="A39" s="3">
        <v>32</v>
      </c>
      <c r="B39" s="1" cm="1">
        <f t="array" ref="B39">TriangularDistribution_CDF(A39, $B$2,$B$3,$B$4)</f>
        <v>1</v>
      </c>
      <c r="C39" s="1" cm="1">
        <f t="array" ref="C39">TriangularDistribution_CDF(A39, $C$2,$C$3,$C$4)</f>
        <v>0.82933333333333337</v>
      </c>
    </row>
    <row r="40" spans="1:3">
      <c r="A40" s="3">
        <v>33</v>
      </c>
      <c r="B40" s="1" cm="1">
        <f t="array" ref="B40">TriangularDistribution_CDF(A40, $B$2,$B$3,$B$4)</f>
        <v>1</v>
      </c>
      <c r="C40" s="1" cm="1">
        <f t="array" ref="C40">TriangularDistribution_CDF(A40, $C$2,$C$3,$C$4)</f>
        <v>0.86933333333333329</v>
      </c>
    </row>
    <row r="41" spans="1:3">
      <c r="A41" s="3">
        <v>34</v>
      </c>
      <c r="B41" s="1" cm="1">
        <f t="array" ref="B41">TriangularDistribution_CDF(A41, $B$2,$B$3,$B$4)</f>
        <v>1</v>
      </c>
      <c r="C41" s="1" cm="1">
        <f t="array" ref="C41">TriangularDistribution_CDF(A41, $C$2,$C$3,$C$4)</f>
        <v>0.90400000000000003</v>
      </c>
    </row>
    <row r="42" spans="1:3">
      <c r="A42" s="3">
        <v>35</v>
      </c>
      <c r="B42" s="1" cm="1">
        <f t="array" ref="B42">TriangularDistribution_CDF(A42, $B$2,$B$3,$B$4)</f>
        <v>1</v>
      </c>
      <c r="C42" s="1" cm="1">
        <f t="array" ref="C42">TriangularDistribution_CDF(A42, $C$2,$C$3,$C$4)</f>
        <v>0.93333333333333335</v>
      </c>
    </row>
    <row r="43" spans="1:3">
      <c r="A43" s="3">
        <v>36</v>
      </c>
      <c r="B43" s="1" cm="1">
        <f t="array" ref="B43">TriangularDistribution_CDF(A43, $B$2,$B$3,$B$4)</f>
        <v>1</v>
      </c>
      <c r="C43" s="1" cm="1">
        <f t="array" ref="C43">TriangularDistribution_CDF(A43, $C$2,$C$3,$C$4)</f>
        <v>0.95733333333333337</v>
      </c>
    </row>
    <row r="44" spans="1:3">
      <c r="A44" s="3">
        <v>37</v>
      </c>
      <c r="B44" s="1" cm="1">
        <f t="array" ref="B44">TriangularDistribution_CDF(A44, $B$2,$B$3,$B$4)</f>
        <v>1</v>
      </c>
      <c r="C44" s="1" cm="1">
        <f t="array" ref="C44">TriangularDistribution_CDF(A44, $C$2,$C$3,$C$4)</f>
        <v>0.97599999999999998</v>
      </c>
    </row>
    <row r="45" spans="1:3">
      <c r="A45" s="3">
        <v>38</v>
      </c>
      <c r="B45" s="1" cm="1">
        <f t="array" ref="B45">TriangularDistribution_CDF(A45, $B$2,$B$3,$B$4)</f>
        <v>1</v>
      </c>
      <c r="C45" s="1" cm="1">
        <f t="array" ref="C45">TriangularDistribution_CDF(A45, $C$2,$C$3,$C$4)</f>
        <v>0.98933333333333329</v>
      </c>
    </row>
    <row r="46" spans="1:3">
      <c r="A46" s="3">
        <v>39</v>
      </c>
      <c r="B46" s="1" cm="1">
        <f t="array" ref="B46">TriangularDistribution_CDF(A46, $B$2,$B$3,$B$4)</f>
        <v>1</v>
      </c>
      <c r="C46" s="1" cm="1">
        <f t="array" ref="C46">TriangularDistribution_CDF(A46, $C$2,$C$3,$C$4)</f>
        <v>0.99733333333333329</v>
      </c>
    </row>
    <row r="47" spans="1:3">
      <c r="A47" s="3">
        <v>40</v>
      </c>
      <c r="B47" s="1" cm="1">
        <f t="array" ref="B47">TriangularDistribution_CDF(A47, $B$2,$B$3,$B$4)</f>
        <v>1</v>
      </c>
      <c r="C47" s="1" cm="1">
        <f t="array" ref="C47">TriangularDistribution_CDF(A47, $C$2,$C$3,$C$4)</f>
        <v>1</v>
      </c>
    </row>
    <row r="48" spans="1:3">
      <c r="A48" s="3">
        <v>41</v>
      </c>
      <c r="B48" s="1" cm="1">
        <f t="array" ref="B48">TriangularDistribution_CDF(A48, $B$2,$B$3,$B$4)</f>
        <v>1</v>
      </c>
      <c r="C48" s="1" cm="1">
        <f t="array" ref="C48">TriangularDistribution_CDF(A48, $C$2,$C$3,$C$4)</f>
        <v>1</v>
      </c>
    </row>
    <row r="49" spans="1:3">
      <c r="A49" s="3">
        <v>42</v>
      </c>
      <c r="B49" s="1" cm="1">
        <f t="array" ref="B49">TriangularDistribution_CDF(A49, $B$2,$B$3,$B$4)</f>
        <v>1</v>
      </c>
      <c r="C49" s="1" cm="1">
        <f t="array" ref="C49">TriangularDistribution_CDF(A49, $C$2,$C$3,$C$4)</f>
        <v>1</v>
      </c>
    </row>
    <row r="50" spans="1:3">
      <c r="A50" s="3">
        <v>43</v>
      </c>
      <c r="B50" s="1" cm="1">
        <f t="array" ref="B50">TriangularDistribution_CDF(A50, $B$2,$B$3,$B$4)</f>
        <v>1</v>
      </c>
      <c r="C50" s="1" cm="1">
        <f t="array" ref="C50">TriangularDistribution_CDF(A50, $C$2,$C$3,$C$4)</f>
        <v>1</v>
      </c>
    </row>
    <row r="51" spans="1:3">
      <c r="A51" s="3">
        <v>44</v>
      </c>
      <c r="B51" s="1" cm="1">
        <f t="array" ref="B51">TriangularDistribution_CDF(A51, $B$2,$B$3,$B$4)</f>
        <v>1</v>
      </c>
      <c r="C51" s="1" cm="1">
        <f t="array" ref="C51">TriangularDistribution_CDF(A51, $C$2,$C$3,$C$4)</f>
        <v>1</v>
      </c>
    </row>
    <row r="52" spans="1:3">
      <c r="A52" s="3">
        <v>45</v>
      </c>
      <c r="B52" s="1" cm="1">
        <f t="array" ref="B52">TriangularDistribution_CDF(A52, $B$2,$B$3,$B$4)</f>
        <v>1</v>
      </c>
      <c r="C52" s="1" cm="1">
        <f t="array" ref="C52">TriangularDistribution_CDF(A52, $C$2,$C$3,$C$4)</f>
        <v>1</v>
      </c>
    </row>
    <row r="53" spans="1:3">
      <c r="A53" s="3">
        <v>46</v>
      </c>
      <c r="B53" s="1" cm="1">
        <f t="array" ref="B53">TriangularDistribution_CDF(A53, $B$2,$B$3,$B$4)</f>
        <v>1</v>
      </c>
      <c r="C53" s="1" cm="1">
        <f t="array" ref="C53">TriangularDistribution_CDF(A53, $C$2,$C$3,$C$4)</f>
        <v>1</v>
      </c>
    </row>
    <row r="54" spans="1:3">
      <c r="A54" s="3">
        <v>47</v>
      </c>
      <c r="B54" s="1" cm="1">
        <f t="array" ref="B54">TriangularDistribution_CDF(A54, $B$2,$B$3,$B$4)</f>
        <v>1</v>
      </c>
      <c r="C54" s="1" cm="1">
        <f t="array" ref="C54">TriangularDistribution_CDF(A54, $C$2,$C$3,$C$4)</f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72EF1-0AB2-4870-9A48-CEBFF332957B}">
  <sheetPr codeName="Blad5"/>
  <dimension ref="A1:F4"/>
  <sheetViews>
    <sheetView tabSelected="1" workbookViewId="0">
      <selection activeCell="B2" sqref="B2:C4"/>
    </sheetView>
  </sheetViews>
  <sheetFormatPr defaultRowHeight="14.45"/>
  <cols>
    <col min="2" max="3" width="14.5703125" customWidth="1"/>
    <col min="4" max="4" width="3.42578125" customWidth="1"/>
    <col min="6" max="6" width="14.42578125" customWidth="1"/>
  </cols>
  <sheetData>
    <row r="1" spans="1:6">
      <c r="A1" s="15"/>
      <c r="B1" s="7" t="s">
        <v>0</v>
      </c>
      <c r="C1" s="8" t="s">
        <v>1</v>
      </c>
      <c r="E1" s="19" t="s">
        <v>7</v>
      </c>
      <c r="F1" s="20"/>
    </row>
    <row r="2" spans="1:6">
      <c r="A2" s="9" t="s">
        <v>2</v>
      </c>
      <c r="B2" s="14">
        <f>PDF!B2</f>
        <v>10</v>
      </c>
      <c r="C2" s="16">
        <f>PDF!C2</f>
        <v>15</v>
      </c>
      <c r="E2" s="21" t="s">
        <v>8</v>
      </c>
      <c r="F2" s="22">
        <v>10000</v>
      </c>
    </row>
    <row r="3" spans="1:6">
      <c r="A3" s="9" t="s">
        <v>3</v>
      </c>
      <c r="B3" s="14">
        <f>PDF!B3</f>
        <v>15</v>
      </c>
      <c r="C3" s="16">
        <f>PDF!C3</f>
        <v>25</v>
      </c>
      <c r="E3" s="21" t="s">
        <v>9</v>
      </c>
      <c r="F3" s="23" cm="1">
        <f t="array" ref="F3">MonteCarlo_Triangular(B2,B3,B4,C2,C3,C4,F2)</f>
        <v>0.11169999999999999</v>
      </c>
    </row>
    <row r="4" spans="1:6" ht="15" thickBot="1">
      <c r="A4" s="11" t="s">
        <v>4</v>
      </c>
      <c r="B4" s="17">
        <f>PDF!B4</f>
        <v>30</v>
      </c>
      <c r="C4" s="18">
        <f>PDF!C4</f>
        <v>40</v>
      </c>
      <c r="E4" s="24"/>
      <c r="F4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Peter Lundberg</dc:creator>
  <cp:keywords/>
  <dc:description/>
  <cp:lastModifiedBy>Yekatierina Churakova</cp:lastModifiedBy>
  <cp:revision/>
  <dcterms:created xsi:type="dcterms:W3CDTF">2022-11-21T13:58:33Z</dcterms:created>
  <dcterms:modified xsi:type="dcterms:W3CDTF">2025-06-18T00:17:38Z</dcterms:modified>
  <cp:category/>
  <cp:contentStatus/>
</cp:coreProperties>
</file>